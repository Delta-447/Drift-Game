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 Lineu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<sst xmlns="http://schemas.openxmlformats.org/spreadsheetml/2006/main" count="66" uniqueCount="44">
  <si>
    <t xml:space="preserve">DRIFT GAME - CAR LINEUP</t>
  </si>
  <si>
    <t xml:space="preserve">Edit the YELLOW columns only: set Desired Order (1 = first car shown) and New Price. Leave New Price blank to keep the current price.</t>
  </si>
  <si>
    <t xml:space="preserve">Reference: a new player earns ~210 coins/run, a decent player ~600, a skilled player ~2,700, an expert ~11,300.</t>
  </si>
  <si>
    <t xml:space="preserve">Current #</t>
  </si>
  <si>
    <t xml:space="preserve">Car</t>
  </si>
  <si>
    <t xml:space="preserve">Unlock Type</t>
  </si>
  <si>
    <t xml:space="preserve">Current Price (coins)</t>
  </si>
  <si>
    <t xml:space="preserve">Desired Order</t>
  </si>
  <si>
    <t xml:space="preserve">New Price (coins)</t>
  </si>
  <si>
    <t xml:space="preserve">Runs to Afford (decent player)</t>
  </si>
  <si>
    <t xml:space="preserve">Notes</t>
  </si>
  <si>
    <t xml:space="preserve">BEATALL</t>
  </si>
  <si>
    <t xml:space="preserve">Starter (free)</t>
  </si>
  <si>
    <t xml:space="preserve">VORTEX HATCH</t>
  </si>
  <si>
    <t xml:space="preserve">Coins</t>
  </si>
  <si>
    <t xml:space="preserve">HANSEN EK</t>
  </si>
  <si>
    <t xml:space="preserve">TORINA R5</t>
  </si>
  <si>
    <t xml:space="preserve">VELORA CX</t>
  </si>
  <si>
    <t xml:space="preserve">LANDYROAMER</t>
  </si>
  <si>
    <t xml:space="preserve">AUTEN QX</t>
  </si>
  <si>
    <t xml:space="preserve">TEMPASTA SUV</t>
  </si>
  <si>
    <t xml:space="preserve">OVERLAND V8</t>
  </si>
  <si>
    <t xml:space="preserve">TOYOYO</t>
  </si>
  <si>
    <t xml:space="preserve">TEMPASTA EVO</t>
  </si>
  <si>
    <t xml:space="preserve">BAVARIA E8</t>
  </si>
  <si>
    <t xml:space="preserve">STRATOS M5</t>
  </si>
  <si>
    <t xml:space="preserve">STRIKER SRT</t>
  </si>
  <si>
    <t xml:space="preserve">TRISTAR</t>
  </si>
  <si>
    <t xml:space="preserve">MARTON GT</t>
  </si>
  <si>
    <t xml:space="preserve">TENSAI R6</t>
  </si>
  <si>
    <t xml:space="preserve">BELLINGTON GT</t>
  </si>
  <si>
    <t xml:space="preserve">CALDERA ELDARO</t>
  </si>
  <si>
    <t xml:space="preserve">VELORA 911</t>
  </si>
  <si>
    <t xml:space="preserve">VETTURA 458</t>
  </si>
  <si>
    <t xml:space="preserve">CYBERHAUL</t>
  </si>
  <si>
    <t xml:space="preserve">ROYALE SHADOW</t>
  </si>
  <si>
    <t xml:space="preserve">DOCLOREAN</t>
  </si>
  <si>
    <t xml:space="preserve">Real money</t>
  </si>
  <si>
    <t xml:space="preserve">-</t>
  </si>
  <si>
    <t xml:space="preserve">AUTEN RX</t>
  </si>
  <si>
    <t xml:space="preserve">Login reward</t>
  </si>
  <si>
    <t xml:space="preserve">Assumption:</t>
  </si>
  <si>
    <t xml:space="preserve">Coins earned per run (decent player)</t>
  </si>
  <si>
    <t xml:space="preserve">Source: model based on current scoring rates (Claude, this session)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</si>
</sst>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;\-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4" t="n">
        <v>1</v>
      </c>
      <c r="B6" s="5" t="s">
        <v>11</v>
      </c>
      <c r="C6" s="5" t="s">
        <v>12</v>
      </c>
      <c r="D6" s="6" t="n">
        <v>0</v>
      </c>
      <c r="E6" s="7" t="n">
        <v>1</v>
      </c>
      <c r="F6" s="8"/>
      <c r="G6" s="6" t="n">
        <f aca="false">IFERROR(IF(IF(F6="",D6,F6)="-","-",ROUND(IF(F6="",D6,F6)/$D$32,0)),"-")</f>
        <v>0</v>
      </c>
      <c r="H6" s="5"/>
    </row>
    <row r="7" customFormat="false" ht="15" hidden="false" customHeight="false" outlineLevel="0" collapsed="false">
      <c r="A7" s="4" t="n">
        <v>2</v>
      </c>
      <c r="B7" s="5" t="s">
        <v>13</v>
      </c>
      <c r="C7" s="5" t="s">
        <v>14</v>
      </c>
      <c r="D7" s="6" t="n">
        <v>2000</v>
      </c>
      <c r="E7" s="7" t="n">
        <v>2</v>
      </c>
      <c r="F7" s="8"/>
      <c r="G7" s="6" t="n">
        <f aca="false">IFERROR(IF(IF(F7="",D7,F7)="-","-",ROUND(IF(F7="",D7,F7)/$D$32,0)),"-")</f>
        <v>3</v>
      </c>
      <c r="H7" s="5"/>
    </row>
    <row r="8" customFormat="false" ht="15" hidden="false" customHeight="false" outlineLevel="0" collapsed="false">
      <c r="A8" s="4" t="n">
        <v>3</v>
      </c>
      <c r="B8" s="5" t="s">
        <v>15</v>
      </c>
      <c r="C8" s="5" t="s">
        <v>14</v>
      </c>
      <c r="D8" s="6" t="n">
        <v>4500</v>
      </c>
      <c r="E8" s="7" t="n">
        <v>3</v>
      </c>
      <c r="F8" s="8"/>
      <c r="G8" s="6" t="n">
        <f aca="false">IFERROR(IF(IF(F8="",D8,F8)="-","-",ROUND(IF(F8="",D8,F8)/$D$32,0)),"-")</f>
        <v>8</v>
      </c>
      <c r="H8" s="5"/>
    </row>
    <row r="9" customFormat="false" ht="15" hidden="false" customHeight="false" outlineLevel="0" collapsed="false">
      <c r="A9" s="4" t="n">
        <v>4</v>
      </c>
      <c r="B9" s="5" t="s">
        <v>16</v>
      </c>
      <c r="C9" s="5" t="s">
        <v>14</v>
      </c>
      <c r="D9" s="6" t="n">
        <v>9000</v>
      </c>
      <c r="E9" s="7" t="n">
        <v>4</v>
      </c>
      <c r="F9" s="8"/>
      <c r="G9" s="6" t="n">
        <f aca="false">IFERROR(IF(IF(F9="",D9,F9)="-","-",ROUND(IF(F9="",D9,F9)/$D$32,0)),"-")</f>
        <v>15</v>
      </c>
      <c r="H9" s="5"/>
    </row>
    <row r="10" customFormat="false" ht="15" hidden="false" customHeight="false" outlineLevel="0" collapsed="false">
      <c r="A10" s="4" t="n">
        <v>5</v>
      </c>
      <c r="B10" s="5" t="s">
        <v>17</v>
      </c>
      <c r="C10" s="5" t="s">
        <v>14</v>
      </c>
      <c r="D10" s="6" t="n">
        <v>16000</v>
      </c>
      <c r="E10" s="7" t="n">
        <v>5</v>
      </c>
      <c r="F10" s="8"/>
      <c r="G10" s="6" t="n">
        <f aca="false">IFERROR(IF(IF(F10="",D10,F10)="-","-",ROUND(IF(F10="",D10,F10)/$D$32,0)),"-")</f>
        <v>27</v>
      </c>
      <c r="H10" s="5"/>
    </row>
    <row r="11" customFormat="false" ht="15" hidden="false" customHeight="false" outlineLevel="0" collapsed="false">
      <c r="A11" s="4" t="n">
        <v>6</v>
      </c>
      <c r="B11" s="5" t="s">
        <v>18</v>
      </c>
      <c r="C11" s="5" t="s">
        <v>14</v>
      </c>
      <c r="D11" s="6" t="n">
        <v>25000</v>
      </c>
      <c r="E11" s="7" t="n">
        <v>6</v>
      </c>
      <c r="F11" s="8"/>
      <c r="G11" s="6" t="n">
        <f aca="false">IFERROR(IF(IF(F11="",D11,F11)="-","-",ROUND(IF(F11="",D11,F11)/$D$32,0)),"-")</f>
        <v>42</v>
      </c>
      <c r="H11" s="5"/>
    </row>
    <row r="12" customFormat="false" ht="15" hidden="false" customHeight="false" outlineLevel="0" collapsed="false">
      <c r="A12" s="4" t="n">
        <v>7</v>
      </c>
      <c r="B12" s="5" t="s">
        <v>19</v>
      </c>
      <c r="C12" s="5" t="s">
        <v>14</v>
      </c>
      <c r="D12" s="6" t="n">
        <v>32000</v>
      </c>
      <c r="E12" s="7" t="n">
        <v>7</v>
      </c>
      <c r="F12" s="8"/>
      <c r="G12" s="6" t="n">
        <f aca="false">IFERROR(IF(IF(F12="",D12,F12)="-","-",ROUND(IF(F12="",D12,F12)/$D$32,0)),"-")</f>
        <v>53</v>
      </c>
      <c r="H12" s="5"/>
    </row>
    <row r="13" customFormat="false" ht="15" hidden="false" customHeight="false" outlineLevel="0" collapsed="false">
      <c r="A13" s="4" t="n">
        <v>8</v>
      </c>
      <c r="B13" s="5" t="s">
        <v>20</v>
      </c>
      <c r="C13" s="5" t="s">
        <v>14</v>
      </c>
      <c r="D13" s="6" t="n">
        <v>45000</v>
      </c>
      <c r="E13" s="7" t="n">
        <v>8</v>
      </c>
      <c r="F13" s="8"/>
      <c r="G13" s="6" t="n">
        <f aca="false">IFERROR(IF(IF(F13="",D13,F13)="-","-",ROUND(IF(F13="",D13,F13)/$D$32,0)),"-")</f>
        <v>75</v>
      </c>
      <c r="H13" s="5"/>
    </row>
    <row r="14" customFormat="false" ht="15" hidden="false" customHeight="false" outlineLevel="0" collapsed="false">
      <c r="A14" s="4" t="n">
        <v>9</v>
      </c>
      <c r="B14" s="5" t="s">
        <v>21</v>
      </c>
      <c r="C14" s="5" t="s">
        <v>14</v>
      </c>
      <c r="D14" s="6" t="n">
        <v>60000</v>
      </c>
      <c r="E14" s="7" t="n">
        <v>9</v>
      </c>
      <c r="F14" s="8"/>
      <c r="G14" s="6" t="n">
        <f aca="false">IFERROR(IF(IF(F14="",D14,F14)="-","-",ROUND(IF(F14="",D14,F14)/$D$32,0)),"-")</f>
        <v>100</v>
      </c>
      <c r="H14" s="5"/>
    </row>
    <row r="15" customFormat="false" ht="15" hidden="false" customHeight="false" outlineLevel="0" collapsed="false">
      <c r="A15" s="4" t="n">
        <v>10</v>
      </c>
      <c r="B15" s="5" t="s">
        <v>22</v>
      </c>
      <c r="C15" s="5" t="s">
        <v>14</v>
      </c>
      <c r="D15" s="6" t="n">
        <v>100000</v>
      </c>
      <c r="E15" s="7" t="n">
        <v>10</v>
      </c>
      <c r="F15" s="8"/>
      <c r="G15" s="6" t="n">
        <f aca="false">IFERROR(IF(IF(F15="",D15,F15)="-","-",ROUND(IF(F15="",D15,F15)/$D$32,0)),"-")</f>
        <v>167</v>
      </c>
      <c r="H15" s="5"/>
    </row>
    <row r="16" customFormat="false" ht="15" hidden="false" customHeight="false" outlineLevel="0" collapsed="false">
      <c r="A16" s="4" t="n">
        <v>11</v>
      </c>
      <c r="B16" s="5" t="s">
        <v>23</v>
      </c>
      <c r="C16" s="5" t="s">
        <v>14</v>
      </c>
      <c r="D16" s="6" t="n">
        <v>130000</v>
      </c>
      <c r="E16" s="7" t="n">
        <v>11</v>
      </c>
      <c r="F16" s="8"/>
      <c r="G16" s="6" t="n">
        <f aca="false">IFERROR(IF(IF(F16="",D16,F16)="-","-",ROUND(IF(F16="",D16,F16)/$D$32,0)),"-")</f>
        <v>217</v>
      </c>
      <c r="H16" s="5"/>
    </row>
    <row r="17" customFormat="false" ht="15" hidden="false" customHeight="false" outlineLevel="0" collapsed="false">
      <c r="A17" s="4" t="n">
        <v>12</v>
      </c>
      <c r="B17" s="5" t="s">
        <v>24</v>
      </c>
      <c r="C17" s="5" t="s">
        <v>14</v>
      </c>
      <c r="D17" s="6" t="n">
        <v>165000</v>
      </c>
      <c r="E17" s="7" t="n">
        <v>12</v>
      </c>
      <c r="F17" s="8"/>
      <c r="G17" s="6" t="n">
        <f aca="false">IFERROR(IF(IF(F17="",D17,F17)="-","-",ROUND(IF(F17="",D17,F17)/$D$32,0)),"-")</f>
        <v>275</v>
      </c>
      <c r="H17" s="5"/>
    </row>
    <row r="18" customFormat="false" ht="15" hidden="false" customHeight="false" outlineLevel="0" collapsed="false">
      <c r="A18" s="4" t="n">
        <v>13</v>
      </c>
      <c r="B18" s="5" t="s">
        <v>25</v>
      </c>
      <c r="C18" s="5" t="s">
        <v>14</v>
      </c>
      <c r="D18" s="6" t="n">
        <v>210000</v>
      </c>
      <c r="E18" s="7" t="n">
        <v>13</v>
      </c>
      <c r="F18" s="8"/>
      <c r="G18" s="6" t="n">
        <f aca="false">IFERROR(IF(IF(F18="",D18,F18)="-","-",ROUND(IF(F18="",D18,F18)/$D$32,0)),"-")</f>
        <v>350</v>
      </c>
      <c r="H18" s="5"/>
    </row>
    <row r="19" customFormat="false" ht="15" hidden="false" customHeight="false" outlineLevel="0" collapsed="false">
      <c r="A19" s="4" t="n">
        <v>14</v>
      </c>
      <c r="B19" s="5" t="s">
        <v>26</v>
      </c>
      <c r="C19" s="5" t="s">
        <v>14</v>
      </c>
      <c r="D19" s="6" t="n">
        <v>260000</v>
      </c>
      <c r="E19" s="7" t="n">
        <v>14</v>
      </c>
      <c r="F19" s="8"/>
      <c r="G19" s="6" t="n">
        <f aca="false">IFERROR(IF(IF(F19="",D19,F19)="-","-",ROUND(IF(F19="",D19,F19)/$D$32,0)),"-")</f>
        <v>433</v>
      </c>
      <c r="H19" s="5"/>
    </row>
    <row r="20" customFormat="false" ht="15" hidden="false" customHeight="false" outlineLevel="0" collapsed="false">
      <c r="A20" s="4" t="n">
        <v>15</v>
      </c>
      <c r="B20" s="5" t="s">
        <v>27</v>
      </c>
      <c r="C20" s="5" t="s">
        <v>14</v>
      </c>
      <c r="D20" s="6" t="n">
        <v>300000</v>
      </c>
      <c r="E20" s="7" t="n">
        <v>15</v>
      </c>
      <c r="F20" s="8"/>
      <c r="G20" s="6" t="n">
        <f aca="false">IFERROR(IF(IF(F20="",D20,F20)="-","-",ROUND(IF(F20="",D20,F20)/$D$32,0)),"-")</f>
        <v>500</v>
      </c>
      <c r="H20" s="5"/>
    </row>
    <row r="21" customFormat="false" ht="15" hidden="false" customHeight="false" outlineLevel="0" collapsed="false">
      <c r="A21" s="4" t="n">
        <v>16</v>
      </c>
      <c r="B21" s="5" t="s">
        <v>28</v>
      </c>
      <c r="C21" s="5" t="s">
        <v>14</v>
      </c>
      <c r="D21" s="6" t="n">
        <v>380000</v>
      </c>
      <c r="E21" s="7" t="n">
        <v>16</v>
      </c>
      <c r="F21" s="8"/>
      <c r="G21" s="6" t="n">
        <f aca="false">IFERROR(IF(IF(F21="",D21,F21)="-","-",ROUND(IF(F21="",D21,F21)/$D$32,0)),"-")</f>
        <v>633</v>
      </c>
      <c r="H21" s="5"/>
    </row>
    <row r="22" customFormat="false" ht="15" hidden="false" customHeight="false" outlineLevel="0" collapsed="false">
      <c r="A22" s="4" t="n">
        <v>17</v>
      </c>
      <c r="B22" s="5" t="s">
        <v>29</v>
      </c>
      <c r="C22" s="5" t="s">
        <v>14</v>
      </c>
      <c r="D22" s="6" t="n">
        <v>460000</v>
      </c>
      <c r="E22" s="7" t="n">
        <v>17</v>
      </c>
      <c r="F22" s="8"/>
      <c r="G22" s="6" t="n">
        <f aca="false">IFERROR(IF(IF(F22="",D22,F22)="-","-",ROUND(IF(F22="",D22,F22)/$D$32,0)),"-")</f>
        <v>767</v>
      </c>
      <c r="H22" s="5"/>
    </row>
    <row r="23" customFormat="false" ht="15" hidden="false" customHeight="false" outlineLevel="0" collapsed="false">
      <c r="A23" s="4" t="n">
        <v>18</v>
      </c>
      <c r="B23" s="5" t="s">
        <v>30</v>
      </c>
      <c r="C23" s="5" t="s">
        <v>14</v>
      </c>
      <c r="D23" s="6" t="n">
        <v>560000</v>
      </c>
      <c r="E23" s="7" t="n">
        <v>18</v>
      </c>
      <c r="F23" s="8"/>
      <c r="G23" s="6" t="n">
        <f aca="false">IFERROR(IF(IF(F23="",D23,F23)="-","-",ROUND(IF(F23="",D23,F23)/$D$32,0)),"-")</f>
        <v>933</v>
      </c>
      <c r="H23" s="5"/>
    </row>
    <row r="24" customFormat="false" ht="15" hidden="false" customHeight="false" outlineLevel="0" collapsed="false">
      <c r="A24" s="4" t="n">
        <v>19</v>
      </c>
      <c r="B24" s="5" t="s">
        <v>31</v>
      </c>
      <c r="C24" s="5" t="s">
        <v>14</v>
      </c>
      <c r="D24" s="6" t="n">
        <v>680000</v>
      </c>
      <c r="E24" s="7" t="n">
        <v>19</v>
      </c>
      <c r="F24" s="8"/>
      <c r="G24" s="6" t="n">
        <f aca="false">IFERROR(IF(IF(F24="",D24,F24)="-","-",ROUND(IF(F24="",D24,F24)/$D$32,0)),"-")</f>
        <v>1133</v>
      </c>
      <c r="H24" s="5"/>
    </row>
    <row r="25" customFormat="false" ht="15" hidden="false" customHeight="false" outlineLevel="0" collapsed="false">
      <c r="A25" s="4" t="n">
        <v>20</v>
      </c>
      <c r="B25" s="5" t="s">
        <v>32</v>
      </c>
      <c r="C25" s="5" t="s">
        <v>14</v>
      </c>
      <c r="D25" s="6" t="n">
        <v>800000</v>
      </c>
      <c r="E25" s="7" t="n">
        <v>20</v>
      </c>
      <c r="F25" s="8"/>
      <c r="G25" s="6" t="n">
        <f aca="false">IFERROR(IF(IF(F25="",D25,F25)="-","-",ROUND(IF(F25="",D25,F25)/$D$32,0)),"-")</f>
        <v>1333</v>
      </c>
      <c r="H25" s="5"/>
    </row>
    <row r="26" customFormat="false" ht="15" hidden="false" customHeight="false" outlineLevel="0" collapsed="false">
      <c r="A26" s="4" t="n">
        <v>21</v>
      </c>
      <c r="B26" s="5" t="s">
        <v>33</v>
      </c>
      <c r="C26" s="5" t="s">
        <v>14</v>
      </c>
      <c r="D26" s="6" t="n">
        <v>950000</v>
      </c>
      <c r="E26" s="7" t="n">
        <v>21</v>
      </c>
      <c r="F26" s="8"/>
      <c r="G26" s="6" t="n">
        <f aca="false">IFERROR(IF(IF(F26="",D26,F26)="-","-",ROUND(IF(F26="",D26,F26)/$D$32,0)),"-")</f>
        <v>1583</v>
      </c>
      <c r="H26" s="5"/>
    </row>
    <row r="27" customFormat="false" ht="15" hidden="false" customHeight="false" outlineLevel="0" collapsed="false">
      <c r="A27" s="4" t="n">
        <v>22</v>
      </c>
      <c r="B27" s="5" t="s">
        <v>34</v>
      </c>
      <c r="C27" s="5" t="s">
        <v>14</v>
      </c>
      <c r="D27" s="6" t="n">
        <v>1100000</v>
      </c>
      <c r="E27" s="7" t="n">
        <v>22</v>
      </c>
      <c r="F27" s="8"/>
      <c r="G27" s="6" t="n">
        <f aca="false">IFERROR(IF(IF(F27="",D27,F27)="-","-",ROUND(IF(F27="",D27,F27)/$D$32,0)),"-")</f>
        <v>1833</v>
      </c>
      <c r="H27" s="5"/>
    </row>
    <row r="28" customFormat="false" ht="15" hidden="false" customHeight="false" outlineLevel="0" collapsed="false">
      <c r="A28" s="4" t="n">
        <v>23</v>
      </c>
      <c r="B28" s="5" t="s">
        <v>35</v>
      </c>
      <c r="C28" s="5" t="s">
        <v>14</v>
      </c>
      <c r="D28" s="6" t="n">
        <v>1400000</v>
      </c>
      <c r="E28" s="7" t="n">
        <v>23</v>
      </c>
      <c r="F28" s="8"/>
      <c r="G28" s="6" t="n">
        <f aca="false">IFERROR(IF(IF(F28="",D28,F28)="-","-",ROUND(IF(F28="",D28,F28)/$D$32,0)),"-")</f>
        <v>2333</v>
      </c>
      <c r="H28" s="5"/>
    </row>
    <row r="29" customFormat="false" ht="15" hidden="false" customHeight="false" outlineLevel="0" collapsed="false">
      <c r="A29" s="4" t="n">
        <v>24</v>
      </c>
      <c r="B29" s="5" t="s">
        <v>36</v>
      </c>
      <c r="C29" s="5" t="s">
        <v>37</v>
      </c>
      <c r="D29" s="6" t="s">
        <v>38</v>
      </c>
      <c r="E29" s="7" t="n">
        <v>24</v>
      </c>
      <c r="F29" s="8"/>
      <c r="G29" s="6" t="str">
        <f aca="false">IFERROR(IF(IF(F29="",D29,F29)="-","-",ROUND(IF(F29="",D29,F29)/$D$32,0)),"-")</f>
        <v>-</v>
      </c>
      <c r="H29" s="5"/>
    </row>
    <row r="30" customFormat="false" ht="15" hidden="false" customHeight="false" outlineLevel="0" collapsed="false">
      <c r="A30" s="4" t="n">
        <v>25</v>
      </c>
      <c r="B30" s="5" t="s">
        <v>39</v>
      </c>
      <c r="C30" s="5" t="s">
        <v>40</v>
      </c>
      <c r="D30" s="6" t="s">
        <v>38</v>
      </c>
      <c r="E30" s="7" t="n">
        <v>25</v>
      </c>
      <c r="F30" s="8"/>
      <c r="G30" s="6" t="str">
        <f aca="false">IFERROR(IF(IF(F30="",D30,F30)="-","-",ROUND(IF(F30="",D30,F30)/$D$32,0)),"-")</f>
        <v>-</v>
      </c>
      <c r="H30" s="5"/>
    </row>
    <row r="32" customFormat="false" ht="15" hidden="false" customHeight="false" outlineLevel="0" collapsed="false">
      <c r="A32" s="9" t="s">
        <v>41</v>
      </c>
      <c r="B32" s="10" t="s">
        <v>42</v>
      </c>
      <c r="D32" s="11" t="n">
        <v>600</v>
      </c>
    </row>
    <row r="33" customFormat="false" ht="15" hidden="false" customHeight="false" outlineLevel="0" collapsed="false">
      <c r="B33" s="1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2026-07-25T19:11:58Z</dcterms:created>
  <dc:creator>openpyxl</dc:creator>
  <dc:description/>
  <dc:language>en-US</dc:language>
  <cp:lastModifiedBy/>
  <dcterms:modified xsi:type="dcterms:W3CDTF">2026-07-25T19:11:58Z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